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KALKULACJE\"/>
    </mc:Choice>
  </mc:AlternateContent>
  <xr:revisionPtr revIDLastSave="0" documentId="8_{B184EB09-7528-4C48-8491-BCA1D1535EDE}" xr6:coauthVersionLast="47" xr6:coauthVersionMax="47" xr10:uidLastSave="{00000000-0000-0000-0000-000000000000}"/>
  <bookViews>
    <workbookView xWindow="-120" yWindow="-120" windowWidth="38640" windowHeight="21120" xr2:uid="{3A1C5776-6B8C-4F37-A34D-176A3E54BCE7}"/>
  </bookViews>
  <sheets>
    <sheet name="Ceny" sheetId="1" r:id="rId1"/>
    <sheet name="Dodatek paliwowy" sheetId="2" r:id="rId2"/>
  </sheets>
  <definedNames>
    <definedName name="_xlnm._FilterDatabase" localSheetId="0" hidden="1">Ceny!$A$2:$Q$16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9" i="2" l="1"/>
  <c r="B39" i="2"/>
  <c r="C39" i="2"/>
  <c r="A40" i="2"/>
  <c r="B40" i="2"/>
  <c r="C40" i="2"/>
  <c r="A41" i="2"/>
  <c r="B41" i="2"/>
  <c r="C41" i="2"/>
  <c r="A42" i="2"/>
  <c r="B42" i="2"/>
  <c r="C42" i="2" s="1"/>
  <c r="A43" i="2"/>
  <c r="B43" i="2"/>
  <c r="C43" i="2"/>
  <c r="A44" i="2"/>
  <c r="B44" i="2"/>
  <c r="C44" i="2"/>
  <c r="A45" i="2"/>
  <c r="B45" i="2"/>
  <c r="C45" i="2" s="1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D46" i="2"/>
  <c r="D47" i="2" s="1"/>
  <c r="D48" i="2" s="1"/>
  <c r="D49" i="2" s="1"/>
  <c r="D50" i="2" s="1"/>
  <c r="D39" i="2"/>
  <c r="D40" i="2" s="1"/>
  <c r="C19" i="1"/>
  <c r="E2" i="2"/>
  <c r="B4" i="2"/>
  <c r="D14" i="2"/>
  <c r="D13" i="2" s="1"/>
  <c r="D12" i="2" s="1"/>
  <c r="D11" i="2" s="1"/>
  <c r="D10" i="2" s="1"/>
  <c r="D9" i="2" s="1"/>
  <c r="D16" i="2"/>
  <c r="D17" i="2" s="1"/>
  <c r="A14" i="2"/>
  <c r="A15" i="2"/>
  <c r="A16" i="2"/>
  <c r="B16" i="2"/>
  <c r="B14" i="2"/>
  <c r="B15" i="2"/>
  <c r="G17" i="1"/>
  <c r="H17" i="1"/>
  <c r="Q17" i="1" s="1"/>
  <c r="D41" i="2" l="1"/>
  <c r="D18" i="2"/>
  <c r="B17" i="2"/>
  <c r="D8" i="2"/>
  <c r="B9" i="2"/>
  <c r="A12" i="2"/>
  <c r="B13" i="2"/>
  <c r="A13" i="2"/>
  <c r="A11" i="2"/>
  <c r="A10" i="2"/>
  <c r="B12" i="2"/>
  <c r="A9" i="2"/>
  <c r="B11" i="2"/>
  <c r="B10" i="2"/>
  <c r="A18" i="2"/>
  <c r="A17" i="2"/>
  <c r="H9" i="1"/>
  <c r="Q9" i="1" s="1"/>
  <c r="H6" i="1"/>
  <c r="Q6" i="1" s="1"/>
  <c r="D42" i="2" l="1"/>
  <c r="D19" i="2"/>
  <c r="B18" i="2"/>
  <c r="A8" i="2"/>
  <c r="B8" i="2"/>
  <c r="H5" i="1"/>
  <c r="Q5" i="1" s="1"/>
  <c r="H7" i="1"/>
  <c r="Q7" i="1" s="1"/>
  <c r="H8" i="1"/>
  <c r="Q8" i="1" s="1"/>
  <c r="B5" i="2"/>
  <c r="C21" i="1" s="1"/>
  <c r="D43" i="2" l="1"/>
  <c r="C11" i="2"/>
  <c r="C12" i="2"/>
  <c r="C13" i="2"/>
  <c r="C14" i="2"/>
  <c r="C15" i="2"/>
  <c r="C16" i="2"/>
  <c r="C18" i="2"/>
  <c r="C9" i="2"/>
  <c r="C10" i="2"/>
  <c r="C17" i="2"/>
  <c r="C8" i="2"/>
  <c r="D20" i="2"/>
  <c r="B19" i="2"/>
  <c r="C19" i="2" s="1"/>
  <c r="A19" i="2"/>
  <c r="J4" i="1"/>
  <c r="D44" i="2" l="1"/>
  <c r="D45" i="2" s="1"/>
  <c r="D21" i="2"/>
  <c r="A20" i="2"/>
  <c r="B20" i="2"/>
  <c r="C20" i="2" s="1"/>
  <c r="J14" i="1"/>
  <c r="J16" i="1"/>
  <c r="J11" i="1"/>
  <c r="J17" i="1"/>
  <c r="J12" i="1"/>
  <c r="J6" i="1"/>
  <c r="J7" i="1"/>
  <c r="J8" i="1"/>
  <c r="J9" i="1"/>
  <c r="J10" i="1"/>
  <c r="J15" i="1"/>
  <c r="J13" i="1"/>
  <c r="J5" i="1"/>
  <c r="J3" i="1"/>
  <c r="A21" i="2" l="1"/>
  <c r="B21" i="2"/>
  <c r="C21" i="2" s="1"/>
  <c r="D22" i="2"/>
  <c r="G16" i="1"/>
  <c r="H16" i="1"/>
  <c r="Q16" i="1" s="1"/>
  <c r="G15" i="1"/>
  <c r="H15" i="1"/>
  <c r="Q15" i="1" s="1"/>
  <c r="G14" i="1"/>
  <c r="H14" i="1"/>
  <c r="Q14" i="1" s="1"/>
  <c r="Q13" i="1"/>
  <c r="H12" i="1"/>
  <c r="Q12" i="1" s="1"/>
  <c r="H11" i="1"/>
  <c r="Q11" i="1" s="1"/>
  <c r="G11" i="1"/>
  <c r="H10" i="1"/>
  <c r="Q10" i="1" s="1"/>
  <c r="D10" i="1"/>
  <c r="G10" i="1" s="1"/>
  <c r="H4" i="1"/>
  <c r="Q4" i="1" s="1"/>
  <c r="H3" i="1"/>
  <c r="Q3" i="1" s="1"/>
  <c r="G3" i="1"/>
  <c r="D23" i="2" l="1"/>
  <c r="A22" i="2"/>
  <c r="B22" i="2"/>
  <c r="C22" i="2" s="1"/>
  <c r="D24" i="2" l="1"/>
  <c r="A23" i="2"/>
  <c r="B23" i="2"/>
  <c r="C23" i="2" s="1"/>
  <c r="D25" i="2" l="1"/>
  <c r="B24" i="2"/>
  <c r="C24" i="2" s="1"/>
  <c r="A24" i="2"/>
  <c r="A25" i="2" l="1"/>
  <c r="D26" i="2"/>
  <c r="B25" i="2"/>
  <c r="C25" i="2" s="1"/>
  <c r="D27" i="2" l="1"/>
  <c r="B26" i="2"/>
  <c r="C26" i="2" s="1"/>
  <c r="A26" i="2"/>
  <c r="A27" i="2" l="1"/>
  <c r="D28" i="2"/>
  <c r="B27" i="2"/>
  <c r="C27" i="2" s="1"/>
  <c r="A28" i="2" l="1"/>
  <c r="D29" i="2"/>
  <c r="B28" i="2"/>
  <c r="C28" i="2" s="1"/>
  <c r="A29" i="2" l="1"/>
  <c r="D30" i="2"/>
  <c r="B29" i="2"/>
  <c r="C29" i="2" s="1"/>
  <c r="D31" i="2" l="1"/>
  <c r="B30" i="2"/>
  <c r="C30" i="2" s="1"/>
  <c r="A30" i="2"/>
  <c r="A31" i="2" l="1"/>
  <c r="B31" i="2"/>
  <c r="C31" i="2" s="1"/>
  <c r="D32" i="2"/>
  <c r="D33" i="2" l="1"/>
  <c r="B32" i="2"/>
  <c r="C32" i="2" s="1"/>
  <c r="A32" i="2"/>
  <c r="D34" i="2" l="1"/>
  <c r="B33" i="2"/>
  <c r="C33" i="2" s="1"/>
  <c r="A33" i="2"/>
  <c r="D35" i="2" l="1"/>
  <c r="B34" i="2"/>
  <c r="C34" i="2" s="1"/>
  <c r="A34" i="2"/>
  <c r="D36" i="2" l="1"/>
  <c r="B35" i="2"/>
  <c r="C35" i="2" s="1"/>
  <c r="A35" i="2"/>
  <c r="B36" i="2" l="1"/>
  <c r="C36" i="2" s="1"/>
  <c r="D37" i="2"/>
  <c r="A36" i="2"/>
  <c r="B37" i="2" l="1"/>
  <c r="C37" i="2" s="1"/>
  <c r="D38" i="2"/>
  <c r="A37" i="2"/>
  <c r="B38" i="2" l="1"/>
  <c r="C38" i="2" s="1"/>
  <c r="A38" i="2"/>
</calcChain>
</file>

<file path=xl/sharedStrings.xml><?xml version="1.0" encoding="utf-8"?>
<sst xmlns="http://schemas.openxmlformats.org/spreadsheetml/2006/main" count="105" uniqueCount="77">
  <si>
    <t>Lp.</t>
  </si>
  <si>
    <t>Waga elementu [t]</t>
  </si>
  <si>
    <t>Ilość na transport [szt.]</t>
  </si>
  <si>
    <t>Ilość transportów [szt.}</t>
  </si>
  <si>
    <t>Pozycja</t>
  </si>
  <si>
    <t>Wymiar LxWxH [m]</t>
  </si>
  <si>
    <t>Słupy skrajne</t>
  </si>
  <si>
    <t>17,6 x 3,0 x 1,0</t>
  </si>
  <si>
    <t>Kratownice</t>
  </si>
  <si>
    <t>19,9 x 3,5 x 0,7</t>
  </si>
  <si>
    <t>14,7 x 0,2 x 0,6</t>
  </si>
  <si>
    <t>Płatwie (długie)</t>
  </si>
  <si>
    <t>14,6 x 2,8 x 0,4</t>
  </si>
  <si>
    <t>Stężenia międzysłupowe (długie)</t>
  </si>
  <si>
    <t>Stężenia międzysłupowe (krótkie)</t>
  </si>
  <si>
    <t>11,6 x 2,8 x 0,4</t>
  </si>
  <si>
    <t>12,0 x 0,5 x 1,1</t>
  </si>
  <si>
    <t>Belki podsuwnicowe (12m)</t>
  </si>
  <si>
    <t>Tężnik (belka)</t>
  </si>
  <si>
    <t>14,2 x 0,4 x 0,4</t>
  </si>
  <si>
    <t>17,6 x 2,25 x 1,0</t>
  </si>
  <si>
    <t>Słupy główne</t>
  </si>
  <si>
    <t>Uwagi</t>
  </si>
  <si>
    <t>ilośc</t>
  </si>
  <si>
    <t>Korektor cen SEFS — Scandinavian Express</t>
  </si>
  <si>
    <t>Aktualna cena ON:</t>
  </si>
  <si>
    <t>Aktualny mnożnik:</t>
  </si>
  <si>
    <t>Cena ON — max próg (zł/l)</t>
  </si>
  <si>
    <t>Mnożnik</t>
  </si>
  <si>
    <t>Aktywny</t>
  </si>
  <si>
    <t xml:space="preserve">Cena bazowa EURO </t>
  </si>
  <si>
    <t>Cena aktualna EURO</t>
  </si>
  <si>
    <t>Aktualna cena paliwa</t>
  </si>
  <si>
    <t>Aktualny dodatek paliwowy</t>
  </si>
  <si>
    <t>Wycena transportu — STEGRA | Scandinavian Express</t>
  </si>
  <si>
    <t>3 auta w konwoju</t>
  </si>
  <si>
    <t>2 auta w konwoju</t>
  </si>
  <si>
    <t>Potwierdzenie daty załadunku: 7 dni kalendarzowych przed załadunkiem</t>
  </si>
  <si>
    <t>Anulowanie załadunku bez opłat: 5 dni kalendarzowych przed załadunkiem</t>
  </si>
  <si>
    <t>Anulowanie załaładunku do 3 dni przed załadunkiem: 25% frachtu</t>
  </si>
  <si>
    <t>Anulowanie załaładunku do 1 dni przed załadunkiem: 50% frachtu</t>
  </si>
  <si>
    <t>Anulowanie załaładunku w dniu załadunku: 100% frachtu</t>
  </si>
  <si>
    <t>Transit time: 4-5 dni</t>
  </si>
  <si>
    <t>Przestój: EUR 750,- za dobę (kratownice); EUR 500,- (pozostałe)</t>
  </si>
  <si>
    <t>1 auto w konwoju</t>
  </si>
  <si>
    <t>Anulowanie załaładunku do 4 dni przed załadunkiem: 15% frachtu</t>
  </si>
  <si>
    <t>Czas wolny za za- i rozładunku: 4h/2h każda kolejna EUR 75</t>
  </si>
  <si>
    <t>Waga transportu [t] MAX</t>
  </si>
  <si>
    <t>Update wymiarów</t>
  </si>
  <si>
    <t>nie</t>
  </si>
  <si>
    <t>tak, nowa waga: 7,1t/szt.</t>
  </si>
  <si>
    <t>Update ceny</t>
  </si>
  <si>
    <t>nie, poza realizacja SCNEX</t>
  </si>
  <si>
    <t>tak, na dł. standard</t>
  </si>
  <si>
    <t>tak, nowa waga 7t</t>
  </si>
  <si>
    <t>rysunki do weryfikacji</t>
  </si>
  <si>
    <t>dł. do 12,65m, waga do 22,5t per transport</t>
  </si>
  <si>
    <t>Dł. Transportowa Max</t>
  </si>
  <si>
    <t>Szer. Transportowa Max</t>
  </si>
  <si>
    <t>Wys. Transportowa Max</t>
  </si>
  <si>
    <t>Waga transportu Max</t>
  </si>
  <si>
    <t>tak, na wym. standard</t>
  </si>
  <si>
    <t>Wymiary paczek transportowych</t>
  </si>
  <si>
    <t>Aktualizacja</t>
  </si>
  <si>
    <t xml:space="preserve">Belki podsuwnicowe </t>
  </si>
  <si>
    <t>16,5 x 0.45 x 1,7</t>
  </si>
  <si>
    <t xml:space="preserve"> 1-2</t>
  </si>
  <si>
    <t>tak, długość i waga</t>
  </si>
  <si>
    <t>ujednolicona cena do wagi max 33,1t</t>
  </si>
  <si>
    <t>3 auta w konwoju; elementy scalone, w CMR 1 element</t>
  </si>
  <si>
    <t>2 auta w konwoju; elementy scalone, w CMR 1 element</t>
  </si>
  <si>
    <t>1 auto w konwoju; elementy scalone, w CMR 1 element</t>
  </si>
  <si>
    <t>elementy scalone, w CMR 1 element</t>
  </si>
  <si>
    <t>Element referencyjny</t>
  </si>
  <si>
    <t>18,5x2,5x2,5</t>
  </si>
  <si>
    <t>Cena bazowa paliwa przy wycenie (01.09.2026):</t>
  </si>
  <si>
    <t>Cena bazowa- paliwo Szwecja OKQ8 01/09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</si>
</sst>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0.000"/>
    <numFmt numFmtId="165" formatCode="_-[$€-2]\ * #,##0_-;\-[$€-2]\ * #,##0_-;_-[$€-2]\ * &quot;-&quot;_-;_-@_-"/>
    <numFmt numFmtId="166" formatCode="#,##0.0"/>
    <numFmt numFmtId="167" formatCode="_-* #,##0.00\ [$SEK]_-;\-* #,##0.00\ [$SEK]_-;_-* &quot;-&quot;??\ [$SEK]_-;_-@_-"/>
    <numFmt numFmtId="168" formatCode="0.00&quot; SEK/l&quot;"/>
  </numFmts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A7A5E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b/>
      <sz val="10"/>
      <color rgb="FF333333"/>
      <name val="Arial"/>
      <family val="2"/>
      <charset val="238"/>
    </font>
    <font>
      <b/>
      <sz val="10"/>
      <color rgb="FF555555"/>
      <name val="Arial"/>
      <family val="2"/>
      <charset val="238"/>
    </font>
    <font>
      <sz val="10"/>
      <color rgb="FF555555"/>
      <name val="Arial"/>
      <family val="2"/>
      <charset val="238"/>
    </font>
    <font>
      <b/>
      <sz val="10"/>
      <color rgb="FF1A7A5E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Calibri"/>
      <family val="2"/>
      <charset val="238"/>
    </font>
    <font>
      <sz val="10"/>
      <color rgb="FF333333"/>
      <name val="Arial"/>
      <family val="2"/>
      <charset val="238"/>
    </font>
    <font>
      <sz val="10"/>
      <color rgb="FFFF0000"/>
      <name val="Arial"/>
      <family val="2"/>
      <charset val="238"/>
    </font>
    <font>
      <sz val="8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7A5E"/>
        <bgColor rgb="FF008080"/>
      </patternFill>
    </fill>
    <fill>
      <patternFill patternType="solid">
        <fgColor rgb="FFE8F5F0"/>
        <bgColor rgb="FFFFFFFF"/>
      </patternFill>
    </fill>
    <fill>
      <patternFill patternType="solid">
        <fgColor rgb="FFFFFFFF"/>
        <bgColor rgb="FFE8F5F0"/>
      </patternFill>
    </fill>
    <fill>
      <patternFill patternType="solid">
        <fgColor rgb="FF1A7A5E"/>
        <bgColor indexed="64"/>
      </patternFill>
    </fill>
    <fill>
      <patternFill patternType="solid">
        <fgColor rgb="FFE8F5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7A5E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1A7A5E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2" fillId="0" borderId="0" xfId="3"/>
    <xf numFmtId="164" fontId="2" fillId="0" borderId="0" xfId="3" applyNumberFormat="1"/>
    <xf numFmtId="9" fontId="2" fillId="0" borderId="0" xfId="3" applyNumberFormat="1"/>
    <xf numFmtId="0" fontId="5" fillId="2" borderId="0" xfId="3" applyFont="1" applyFill="1" applyAlignment="1">
      <alignment horizontal="center"/>
    </xf>
    <xf numFmtId="0" fontId="6" fillId="3" borderId="1" xfId="3" applyFont="1" applyFill="1" applyBorder="1" applyAlignment="1">
      <alignment horizontal="center"/>
    </xf>
    <xf numFmtId="0" fontId="7" fillId="3" borderId="1" xfId="3" applyFont="1" applyFill="1" applyBorder="1" applyAlignment="1">
      <alignment horizontal="center"/>
    </xf>
    <xf numFmtId="2" fontId="4" fillId="4" borderId="1" xfId="3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6" fontId="8" fillId="6" borderId="1" xfId="1" applyNumberFormat="1" applyFont="1" applyFill="1" applyBorder="1" applyAlignment="1">
      <alignment horizontal="center" vertical="center"/>
    </xf>
    <xf numFmtId="166" fontId="8" fillId="7" borderId="1" xfId="1" applyNumberFormat="1" applyFont="1" applyFill="1" applyBorder="1" applyAlignment="1">
      <alignment horizontal="center" vertical="center"/>
    </xf>
    <xf numFmtId="2" fontId="13" fillId="3" borderId="1" xfId="3" applyNumberFormat="1" applyFont="1" applyFill="1" applyBorder="1" applyAlignment="1">
      <alignment horizontal="center"/>
    </xf>
    <xf numFmtId="0" fontId="12" fillId="0" borderId="0" xfId="3" applyFont="1" applyAlignment="1">
      <alignment horizontal="center"/>
    </xf>
    <xf numFmtId="0" fontId="15" fillId="0" borderId="0" xfId="3" applyFont="1" applyAlignment="1">
      <alignment horizontal="center"/>
    </xf>
    <xf numFmtId="0" fontId="14" fillId="0" borderId="0" xfId="3" applyFont="1" applyAlignment="1">
      <alignment horizontal="center"/>
    </xf>
    <xf numFmtId="2" fontId="13" fillId="6" borderId="1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8" fillId="6" borderId="1" xfId="2" applyNumberFormat="1" applyFont="1" applyFill="1" applyBorder="1" applyAlignment="1">
      <alignment horizontal="center" vertical="center"/>
    </xf>
    <xf numFmtId="0" fontId="8" fillId="6" borderId="3" xfId="2" applyNumberFormat="1" applyFont="1" applyFill="1" applyBorder="1" applyAlignment="1">
      <alignment horizontal="center" vertical="center"/>
    </xf>
    <xf numFmtId="165" fontId="8" fillId="7" borderId="1" xfId="2" applyNumberFormat="1" applyFont="1" applyFill="1" applyBorder="1" applyAlignment="1">
      <alignment horizontal="center" vertical="center"/>
    </xf>
    <xf numFmtId="0" fontId="8" fillId="7" borderId="3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2" applyNumberFormat="1" applyFont="1" applyFill="1" applyBorder="1" applyAlignment="1">
      <alignment horizontal="center"/>
    </xf>
    <xf numFmtId="2" fontId="8" fillId="6" borderId="1" xfId="2" applyNumberFormat="1" applyFont="1" applyFill="1" applyBorder="1" applyAlignment="1">
      <alignment horizontal="center" vertical="center"/>
    </xf>
    <xf numFmtId="2" fontId="8" fillId="7" borderId="1" xfId="2" applyNumberFormat="1" applyFont="1" applyFill="1" applyBorder="1" applyAlignment="1">
      <alignment horizontal="center" vertical="center"/>
    </xf>
    <xf numFmtId="2" fontId="8" fillId="6" borderId="3" xfId="2" applyNumberFormat="1" applyFont="1" applyFill="1" applyBorder="1" applyAlignment="1">
      <alignment horizontal="center" vertical="center"/>
    </xf>
    <xf numFmtId="2" fontId="8" fillId="6" borderId="1" xfId="1" applyNumberFormat="1" applyFont="1" applyFill="1" applyBorder="1" applyAlignment="1">
      <alignment horizontal="center" vertical="center"/>
    </xf>
    <xf numFmtId="2" fontId="8" fillId="7" borderId="3" xfId="2" applyNumberFormat="1" applyFont="1" applyFill="1" applyBorder="1" applyAlignment="1">
      <alignment horizontal="center" vertical="center"/>
    </xf>
    <xf numFmtId="2" fontId="8" fillId="7" borderId="1" xfId="1" applyNumberFormat="1" applyFont="1" applyFill="1" applyBorder="1" applyAlignment="1">
      <alignment horizontal="center" vertical="center"/>
    </xf>
    <xf numFmtId="166" fontId="17" fillId="7" borderId="1" xfId="1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6" fontId="8" fillId="7" borderId="0" xfId="1" applyNumberFormat="1" applyFont="1" applyFill="1" applyBorder="1" applyAlignment="1">
      <alignment horizontal="center" vertical="center"/>
    </xf>
    <xf numFmtId="166" fontId="17" fillId="7" borderId="0" xfId="1" applyNumberFormat="1" applyFont="1" applyFill="1" applyBorder="1" applyAlignment="1">
      <alignment horizontal="center" vertical="center"/>
    </xf>
    <xf numFmtId="165" fontId="8" fillId="7" borderId="0" xfId="2" applyNumberFormat="1" applyFont="1" applyFill="1" applyBorder="1" applyAlignment="1">
      <alignment horizontal="center" vertical="center"/>
    </xf>
    <xf numFmtId="0" fontId="8" fillId="7" borderId="0" xfId="2" applyNumberFormat="1" applyFont="1" applyFill="1" applyBorder="1" applyAlignment="1">
      <alignment horizontal="center" vertical="center"/>
    </xf>
    <xf numFmtId="2" fontId="8" fillId="7" borderId="0" xfId="2" applyNumberFormat="1" applyFont="1" applyFill="1" applyBorder="1" applyAlignment="1">
      <alignment horizontal="center" vertical="center"/>
    </xf>
    <xf numFmtId="2" fontId="8" fillId="7" borderId="0" xfId="1" applyNumberFormat="1" applyFont="1" applyFill="1" applyBorder="1" applyAlignment="1">
      <alignment horizontal="center" vertical="center"/>
    </xf>
    <xf numFmtId="167" fontId="14" fillId="0" borderId="0" xfId="3" applyNumberFormat="1" applyFont="1" applyAlignment="1">
      <alignment horizontal="center"/>
    </xf>
    <xf numFmtId="168" fontId="11" fillId="7" borderId="1" xfId="3" applyNumberFormat="1" applyFont="1" applyFill="1" applyBorder="1" applyAlignment="1">
      <alignment horizontal="center"/>
    </xf>
    <xf numFmtId="168" fontId="14" fillId="8" borderId="1" xfId="3" applyNumberFormat="1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2" borderId="0" xfId="3" applyFont="1" applyFill="1" applyAlignment="1">
      <alignment horizontal="center" vertical="center"/>
    </xf>
    <xf numFmtId="0" fontId="10" fillId="0" borderId="0" xfId="3" applyFont="1" applyAlignment="1">
      <alignment horizontal="center" vertical="center"/>
    </xf>
  </cellXfs>
  <cellStyles count="4">
    <cellStyle name="Dziesiętny" xfId="1" builtinId="3"/>
    <cellStyle name="Normalny" xfId="0" builtinId="0"/>
    <cellStyle name="Normalny 2" xfId="3" xr:uid="{98CCC338-AAE5-4445-8BF8-8F54F3CE2A34}"/>
    <cellStyle name="Walutowy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822097-DB7E-4A26-BB1A-DD282F81E3C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2ef58d5-67f1-45a5-a949-ed33a00c5b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8A93-1CBB-4479-BEF4-B6648057132C}">
  <dimension ref="A1:Q34"/>
  <sheetViews>
    <sheetView tabSelected="1" workbookViewId="0">
      <pane ySplit="2" topLeftCell="A3" activePane="bottomLeft" state="frozen"/>
      <selection pane="bottomLeft" activeCell="F30" sqref="F30"/>
    </sheetView>
  </sheetViews>
  <sheetFormatPr defaultColWidth="8.85546875" defaultRowHeight="15" x14ac:dyDescent="0.25"/>
  <cols>
    <col min="1" max="1" width="6.42578125" style="23" customWidth="1"/>
    <col min="2" max="2" width="40" style="23" customWidth="1"/>
    <col min="3" max="3" width="21" style="23" customWidth="1"/>
    <col min="4" max="8" width="14.85546875" style="23" customWidth="1"/>
    <col min="9" max="10" width="20" style="23" customWidth="1"/>
    <col min="11" max="11" width="48.140625" style="23" bestFit="1" customWidth="1"/>
    <col min="12" max="12" width="40" style="23" bestFit="1" customWidth="1"/>
    <col min="13" max="13" width="33.42578125" style="23" bestFit="1" customWidth="1"/>
    <col min="14" max="14" width="12.5703125" style="23" customWidth="1"/>
    <col min="15" max="15" width="14.42578125" style="23" customWidth="1"/>
    <col min="16" max="16" width="15.5703125" style="23" customWidth="1"/>
    <col min="17" max="17" width="12.5703125" style="23" customWidth="1"/>
    <col min="18" max="16384" width="8.85546875" style="23"/>
  </cols>
  <sheetData>
    <row r="1" spans="1:17" ht="26.1" customHeight="1" x14ac:dyDescent="0.25">
      <c r="A1" s="48" t="s">
        <v>34</v>
      </c>
      <c r="B1" s="49"/>
      <c r="C1" s="49"/>
      <c r="D1" s="49"/>
      <c r="E1" s="49"/>
      <c r="F1" s="49"/>
      <c r="G1" s="49"/>
      <c r="H1" s="49"/>
      <c r="I1" s="49"/>
      <c r="J1" s="49"/>
      <c r="K1" s="50"/>
      <c r="L1" s="48" t="s">
        <v>63</v>
      </c>
      <c r="M1" s="50"/>
      <c r="N1" s="48" t="s">
        <v>62</v>
      </c>
      <c r="O1" s="49"/>
      <c r="P1" s="49"/>
      <c r="Q1" s="50"/>
    </row>
    <row r="2" spans="1:17" ht="41.25" customHeight="1" x14ac:dyDescent="0.25">
      <c r="A2" s="11" t="s">
        <v>0</v>
      </c>
      <c r="B2" s="8" t="s">
        <v>4</v>
      </c>
      <c r="C2" s="8" t="s">
        <v>5</v>
      </c>
      <c r="D2" s="8" t="s">
        <v>23</v>
      </c>
      <c r="E2" s="8" t="s">
        <v>1</v>
      </c>
      <c r="F2" s="8" t="s">
        <v>2</v>
      </c>
      <c r="G2" s="8" t="s">
        <v>3</v>
      </c>
      <c r="H2" s="8" t="s">
        <v>47</v>
      </c>
      <c r="I2" s="8" t="s">
        <v>30</v>
      </c>
      <c r="J2" s="8" t="s">
        <v>31</v>
      </c>
      <c r="K2" s="8" t="s">
        <v>22</v>
      </c>
      <c r="L2" s="8" t="s">
        <v>48</v>
      </c>
      <c r="M2" s="8" t="s">
        <v>51</v>
      </c>
      <c r="N2" s="8" t="s">
        <v>57</v>
      </c>
      <c r="O2" s="8" t="s">
        <v>58</v>
      </c>
      <c r="P2" s="8" t="s">
        <v>59</v>
      </c>
      <c r="Q2" s="8" t="s">
        <v>60</v>
      </c>
    </row>
    <row r="3" spans="1:17" x14ac:dyDescent="0.25">
      <c r="A3" s="12">
        <v>1</v>
      </c>
      <c r="B3" s="9" t="s">
        <v>6</v>
      </c>
      <c r="C3" s="9" t="s">
        <v>7</v>
      </c>
      <c r="D3" s="14">
        <v>20</v>
      </c>
      <c r="E3" s="14">
        <v>11</v>
      </c>
      <c r="F3" s="14">
        <v>2</v>
      </c>
      <c r="G3" s="14">
        <f>D3/F3</f>
        <v>10</v>
      </c>
      <c r="H3" s="14">
        <f t="shared" ref="H3:H16" si="0">F3*E3</f>
        <v>22</v>
      </c>
      <c r="I3" s="24">
        <v>7640</v>
      </c>
      <c r="J3" s="24">
        <f t="shared" ref="J3:J17" si="1">I3*$C$21</f>
        <v>8552.4867675032383</v>
      </c>
      <c r="K3" s="25"/>
      <c r="L3" s="14" t="s">
        <v>49</v>
      </c>
      <c r="M3" s="24" t="s">
        <v>49</v>
      </c>
      <c r="N3" s="31">
        <v>18</v>
      </c>
      <c r="O3" s="33">
        <v>3</v>
      </c>
      <c r="P3" s="34">
        <v>2.5</v>
      </c>
      <c r="Q3" s="31">
        <f>CEILING(H3,1)</f>
        <v>22</v>
      </c>
    </row>
    <row r="4" spans="1:17" x14ac:dyDescent="0.25">
      <c r="A4" s="13">
        <v>2</v>
      </c>
      <c r="B4" s="10" t="s">
        <v>8</v>
      </c>
      <c r="C4" s="10" t="s">
        <v>9</v>
      </c>
      <c r="D4" s="15">
        <v>100</v>
      </c>
      <c r="E4" s="15">
        <v>7.1</v>
      </c>
      <c r="F4" s="15">
        <v>3</v>
      </c>
      <c r="G4" s="15">
        <v>34</v>
      </c>
      <c r="H4" s="15">
        <f t="shared" si="0"/>
        <v>21.299999999999997</v>
      </c>
      <c r="I4" s="26">
        <v>9950</v>
      </c>
      <c r="J4" s="26">
        <f t="shared" si="1"/>
        <v>11138.382635688118</v>
      </c>
      <c r="K4" s="27" t="s">
        <v>35</v>
      </c>
      <c r="L4" s="15" t="s">
        <v>50</v>
      </c>
      <c r="M4" s="26" t="s">
        <v>49</v>
      </c>
      <c r="N4" s="32">
        <v>20</v>
      </c>
      <c r="O4" s="35">
        <v>3.6</v>
      </c>
      <c r="P4" s="36">
        <v>2.5</v>
      </c>
      <c r="Q4" s="32">
        <f t="shared" ref="Q4:Q16" si="2">CEILING(H4,1)</f>
        <v>22</v>
      </c>
    </row>
    <row r="5" spans="1:17" x14ac:dyDescent="0.25">
      <c r="A5" s="12">
        <v>2</v>
      </c>
      <c r="B5" s="9" t="s">
        <v>8</v>
      </c>
      <c r="C5" s="9" t="s">
        <v>9</v>
      </c>
      <c r="D5" s="14">
        <v>100</v>
      </c>
      <c r="E5" s="14">
        <v>7.1</v>
      </c>
      <c r="F5" s="14">
        <v>3</v>
      </c>
      <c r="G5" s="14">
        <v>34</v>
      </c>
      <c r="H5" s="14">
        <f t="shared" si="0"/>
        <v>21.299999999999997</v>
      </c>
      <c r="I5" s="24">
        <v>10860</v>
      </c>
      <c r="J5" s="24">
        <f t="shared" si="1"/>
        <v>12157.068886791252</v>
      </c>
      <c r="K5" s="25" t="s">
        <v>36</v>
      </c>
      <c r="L5" s="14" t="s">
        <v>50</v>
      </c>
      <c r="M5" s="24" t="s">
        <v>49</v>
      </c>
      <c r="N5" s="31">
        <v>20</v>
      </c>
      <c r="O5" s="33">
        <v>3.6</v>
      </c>
      <c r="P5" s="34">
        <v>2.5</v>
      </c>
      <c r="Q5" s="31">
        <f t="shared" si="2"/>
        <v>22</v>
      </c>
    </row>
    <row r="6" spans="1:17" x14ac:dyDescent="0.25">
      <c r="A6" s="13">
        <v>2</v>
      </c>
      <c r="B6" s="10" t="s">
        <v>8</v>
      </c>
      <c r="C6" s="10" t="s">
        <v>9</v>
      </c>
      <c r="D6" s="15">
        <v>100</v>
      </c>
      <c r="E6" s="15">
        <v>7.1</v>
      </c>
      <c r="F6" s="15">
        <v>3</v>
      </c>
      <c r="G6" s="15">
        <v>34</v>
      </c>
      <c r="H6" s="15">
        <f t="shared" ref="H6" si="3">F6*E6</f>
        <v>21.299999999999997</v>
      </c>
      <c r="I6" s="26">
        <v>11315</v>
      </c>
      <c r="J6" s="26">
        <f t="shared" si="1"/>
        <v>12666.41201234282</v>
      </c>
      <c r="K6" s="27" t="s">
        <v>44</v>
      </c>
      <c r="L6" s="15" t="s">
        <v>50</v>
      </c>
      <c r="M6" s="26" t="s">
        <v>49</v>
      </c>
      <c r="N6" s="32">
        <v>20</v>
      </c>
      <c r="O6" s="35">
        <v>3.6</v>
      </c>
      <c r="P6" s="36">
        <v>2.5</v>
      </c>
      <c r="Q6" s="32">
        <f t="shared" si="2"/>
        <v>22</v>
      </c>
    </row>
    <row r="7" spans="1:17" x14ac:dyDescent="0.25">
      <c r="A7" s="12">
        <v>2</v>
      </c>
      <c r="B7" s="9" t="s">
        <v>8</v>
      </c>
      <c r="C7" s="9" t="s">
        <v>9</v>
      </c>
      <c r="D7" s="14">
        <v>100</v>
      </c>
      <c r="E7" s="14">
        <v>7.1</v>
      </c>
      <c r="F7" s="14">
        <v>4</v>
      </c>
      <c r="G7" s="14">
        <v>25</v>
      </c>
      <c r="H7" s="14">
        <f t="shared" si="0"/>
        <v>28.4</v>
      </c>
      <c r="I7" s="24">
        <v>11380</v>
      </c>
      <c r="J7" s="24">
        <f t="shared" si="1"/>
        <v>12739.175315993043</v>
      </c>
      <c r="K7" s="25" t="s">
        <v>69</v>
      </c>
      <c r="L7" s="14" t="s">
        <v>50</v>
      </c>
      <c r="M7" s="24" t="s">
        <v>49</v>
      </c>
      <c r="N7" s="31">
        <v>20</v>
      </c>
      <c r="O7" s="33">
        <v>3.6</v>
      </c>
      <c r="P7" s="34">
        <v>2.9</v>
      </c>
      <c r="Q7" s="31">
        <f t="shared" si="2"/>
        <v>29</v>
      </c>
    </row>
    <row r="8" spans="1:17" x14ac:dyDescent="0.25">
      <c r="A8" s="13">
        <v>2</v>
      </c>
      <c r="B8" s="10" t="s">
        <v>8</v>
      </c>
      <c r="C8" s="10" t="s">
        <v>9</v>
      </c>
      <c r="D8" s="15">
        <v>100</v>
      </c>
      <c r="E8" s="15">
        <v>7.1</v>
      </c>
      <c r="F8" s="15">
        <v>4</v>
      </c>
      <c r="G8" s="15">
        <v>25</v>
      </c>
      <c r="H8" s="15">
        <f t="shared" si="0"/>
        <v>28.4</v>
      </c>
      <c r="I8" s="26">
        <v>12290</v>
      </c>
      <c r="J8" s="26">
        <f t="shared" si="1"/>
        <v>13757.861567096179</v>
      </c>
      <c r="K8" s="27" t="s">
        <v>70</v>
      </c>
      <c r="L8" s="15" t="s">
        <v>50</v>
      </c>
      <c r="M8" s="26" t="s">
        <v>49</v>
      </c>
      <c r="N8" s="32">
        <v>20</v>
      </c>
      <c r="O8" s="35">
        <v>3.6</v>
      </c>
      <c r="P8" s="36">
        <v>2.9</v>
      </c>
      <c r="Q8" s="32">
        <f t="shared" si="2"/>
        <v>29</v>
      </c>
    </row>
    <row r="9" spans="1:17" x14ac:dyDescent="0.25">
      <c r="A9" s="12">
        <v>2</v>
      </c>
      <c r="B9" s="9" t="s">
        <v>8</v>
      </c>
      <c r="C9" s="9" t="s">
        <v>9</v>
      </c>
      <c r="D9" s="14">
        <v>100</v>
      </c>
      <c r="E9" s="14">
        <v>7.1</v>
      </c>
      <c r="F9" s="14">
        <v>4</v>
      </c>
      <c r="G9" s="14">
        <v>25</v>
      </c>
      <c r="H9" s="14">
        <f t="shared" ref="H9" si="4">F9*E9</f>
        <v>28.4</v>
      </c>
      <c r="I9" s="24">
        <v>12745</v>
      </c>
      <c r="J9" s="24">
        <f t="shared" si="1"/>
        <v>14267.204692647745</v>
      </c>
      <c r="K9" s="25" t="s">
        <v>71</v>
      </c>
      <c r="L9" s="14" t="s">
        <v>50</v>
      </c>
      <c r="M9" s="24" t="s">
        <v>49</v>
      </c>
      <c r="N9" s="31">
        <v>20</v>
      </c>
      <c r="O9" s="33">
        <v>3.6</v>
      </c>
      <c r="P9" s="34">
        <v>2.9</v>
      </c>
      <c r="Q9" s="31">
        <f t="shared" si="2"/>
        <v>29</v>
      </c>
    </row>
    <row r="10" spans="1:17" x14ac:dyDescent="0.25">
      <c r="A10" s="13">
        <v>3</v>
      </c>
      <c r="B10" s="10" t="s">
        <v>11</v>
      </c>
      <c r="C10" s="10" t="s">
        <v>10</v>
      </c>
      <c r="D10" s="15">
        <f>24*5</f>
        <v>120</v>
      </c>
      <c r="E10" s="15">
        <v>1.6</v>
      </c>
      <c r="F10" s="15">
        <v>15</v>
      </c>
      <c r="G10" s="15">
        <f>D10/F10</f>
        <v>8</v>
      </c>
      <c r="H10" s="15">
        <f t="shared" si="0"/>
        <v>24</v>
      </c>
      <c r="I10" s="26">
        <v>6030</v>
      </c>
      <c r="J10" s="26">
        <f t="shared" si="1"/>
        <v>6750.1957078592313</v>
      </c>
      <c r="K10" s="27"/>
      <c r="L10" s="15" t="s">
        <v>53</v>
      </c>
      <c r="M10" s="26" t="s">
        <v>52</v>
      </c>
      <c r="N10" s="32">
        <v>15</v>
      </c>
      <c r="O10" s="35">
        <v>2.5</v>
      </c>
      <c r="P10" s="36">
        <v>2.9</v>
      </c>
      <c r="Q10" s="32">
        <f t="shared" si="2"/>
        <v>24</v>
      </c>
    </row>
    <row r="11" spans="1:17" x14ac:dyDescent="0.25">
      <c r="A11" s="12">
        <v>4</v>
      </c>
      <c r="B11" s="9" t="s">
        <v>13</v>
      </c>
      <c r="C11" s="9" t="s">
        <v>12</v>
      </c>
      <c r="D11" s="14">
        <v>8</v>
      </c>
      <c r="E11" s="14">
        <v>4.2</v>
      </c>
      <c r="F11" s="14">
        <v>4</v>
      </c>
      <c r="G11" s="14">
        <f>D11/F11</f>
        <v>2</v>
      </c>
      <c r="H11" s="14">
        <f t="shared" si="0"/>
        <v>16.8</v>
      </c>
      <c r="I11" s="24">
        <v>5510</v>
      </c>
      <c r="J11" s="24">
        <f t="shared" si="1"/>
        <v>6168.0892786574404</v>
      </c>
      <c r="K11" s="25"/>
      <c r="L11" s="14" t="s">
        <v>61</v>
      </c>
      <c r="M11" s="24" t="s">
        <v>52</v>
      </c>
      <c r="N11" s="31">
        <v>15</v>
      </c>
      <c r="O11" s="33">
        <v>2.8</v>
      </c>
      <c r="P11" s="34">
        <v>2.5</v>
      </c>
      <c r="Q11" s="31">
        <f t="shared" si="2"/>
        <v>17</v>
      </c>
    </row>
    <row r="12" spans="1:17" x14ac:dyDescent="0.25">
      <c r="A12" s="13">
        <v>5</v>
      </c>
      <c r="B12" s="10" t="s">
        <v>14</v>
      </c>
      <c r="C12" s="10" t="s">
        <v>15</v>
      </c>
      <c r="D12" s="15">
        <v>14</v>
      </c>
      <c r="E12" s="15">
        <v>3.3</v>
      </c>
      <c r="F12" s="15">
        <v>5</v>
      </c>
      <c r="G12" s="15">
        <v>3</v>
      </c>
      <c r="H12" s="15">
        <f t="shared" si="0"/>
        <v>16.5</v>
      </c>
      <c r="I12" s="26">
        <v>4960</v>
      </c>
      <c r="J12" s="26">
        <f t="shared" si="1"/>
        <v>5552.3997862324686</v>
      </c>
      <c r="K12" s="27"/>
      <c r="L12" s="15" t="s">
        <v>61</v>
      </c>
      <c r="M12" s="26" t="s">
        <v>52</v>
      </c>
      <c r="N12" s="32">
        <v>13.6</v>
      </c>
      <c r="O12" s="35">
        <v>2.8</v>
      </c>
      <c r="P12" s="36">
        <v>2.5</v>
      </c>
      <c r="Q12" s="32">
        <f t="shared" si="2"/>
        <v>17</v>
      </c>
    </row>
    <row r="13" spans="1:17" x14ac:dyDescent="0.25">
      <c r="A13" s="12">
        <v>6</v>
      </c>
      <c r="B13" s="9" t="s">
        <v>64</v>
      </c>
      <c r="C13" s="9" t="s">
        <v>65</v>
      </c>
      <c r="D13" s="14">
        <v>25</v>
      </c>
      <c r="E13" s="14">
        <v>16.55</v>
      </c>
      <c r="F13" s="14" t="s">
        <v>66</v>
      </c>
      <c r="G13" s="14">
        <v>13</v>
      </c>
      <c r="H13" s="14">
        <v>33.1</v>
      </c>
      <c r="I13" s="24">
        <v>6280</v>
      </c>
      <c r="J13" s="24">
        <f t="shared" si="1"/>
        <v>7030.0545680524001</v>
      </c>
      <c r="K13" s="25" t="s">
        <v>72</v>
      </c>
      <c r="L13" s="14" t="s">
        <v>67</v>
      </c>
      <c r="M13" s="24" t="s">
        <v>68</v>
      </c>
      <c r="N13" s="31">
        <v>16.5</v>
      </c>
      <c r="O13" s="33">
        <v>2.5</v>
      </c>
      <c r="P13" s="34">
        <v>2.5</v>
      </c>
      <c r="Q13" s="31">
        <f t="shared" si="2"/>
        <v>34</v>
      </c>
    </row>
    <row r="14" spans="1:17" x14ac:dyDescent="0.25">
      <c r="A14" s="13">
        <v>8</v>
      </c>
      <c r="B14" s="10" t="s">
        <v>17</v>
      </c>
      <c r="C14" s="10" t="s">
        <v>16</v>
      </c>
      <c r="D14" s="15">
        <v>70</v>
      </c>
      <c r="E14" s="15">
        <v>10.8</v>
      </c>
      <c r="F14" s="15">
        <v>2</v>
      </c>
      <c r="G14" s="15">
        <f>D14/F14</f>
        <v>35</v>
      </c>
      <c r="H14" s="15">
        <f t="shared" si="0"/>
        <v>21.6</v>
      </c>
      <c r="I14" s="26">
        <v>5090</v>
      </c>
      <c r="J14" s="26">
        <f t="shared" si="1"/>
        <v>5697.9263935329172</v>
      </c>
      <c r="K14" s="27"/>
      <c r="L14" s="15" t="s">
        <v>56</v>
      </c>
      <c r="M14" s="26" t="s">
        <v>49</v>
      </c>
      <c r="N14" s="32">
        <v>13.6</v>
      </c>
      <c r="O14" s="35">
        <v>2.5</v>
      </c>
      <c r="P14" s="36">
        <v>2.5</v>
      </c>
      <c r="Q14" s="32">
        <f t="shared" si="2"/>
        <v>22</v>
      </c>
    </row>
    <row r="15" spans="1:17" x14ac:dyDescent="0.25">
      <c r="A15" s="12">
        <v>9</v>
      </c>
      <c r="B15" s="9" t="s">
        <v>18</v>
      </c>
      <c r="C15" s="9" t="s">
        <v>19</v>
      </c>
      <c r="D15" s="14">
        <v>16</v>
      </c>
      <c r="E15" s="14">
        <v>1.8</v>
      </c>
      <c r="F15" s="14">
        <v>8</v>
      </c>
      <c r="G15" s="14">
        <f>D15/F15</f>
        <v>2</v>
      </c>
      <c r="H15" s="14">
        <f t="shared" si="0"/>
        <v>14.4</v>
      </c>
      <c r="I15" s="24">
        <v>5320</v>
      </c>
      <c r="J15" s="24">
        <f t="shared" si="1"/>
        <v>5955.3965449106317</v>
      </c>
      <c r="K15" s="25"/>
      <c r="L15" s="14" t="s">
        <v>61</v>
      </c>
      <c r="M15" s="24" t="s">
        <v>52</v>
      </c>
      <c r="N15" s="31">
        <v>15</v>
      </c>
      <c r="O15" s="33">
        <v>2.5</v>
      </c>
      <c r="P15" s="34">
        <v>2.5</v>
      </c>
      <c r="Q15" s="31">
        <f t="shared" si="2"/>
        <v>15</v>
      </c>
    </row>
    <row r="16" spans="1:17" x14ac:dyDescent="0.25">
      <c r="A16" s="13">
        <v>10</v>
      </c>
      <c r="B16" s="10" t="s">
        <v>21</v>
      </c>
      <c r="C16" s="10" t="s">
        <v>20</v>
      </c>
      <c r="D16" s="15">
        <v>80</v>
      </c>
      <c r="E16" s="15">
        <v>7</v>
      </c>
      <c r="F16" s="37">
        <v>3</v>
      </c>
      <c r="G16" s="15">
        <f>D16/F16</f>
        <v>26.666666666666668</v>
      </c>
      <c r="H16" s="15">
        <f t="shared" si="0"/>
        <v>21</v>
      </c>
      <c r="I16" s="26">
        <v>5600</v>
      </c>
      <c r="J16" s="26">
        <f t="shared" si="1"/>
        <v>6268.8384683269815</v>
      </c>
      <c r="K16" s="27"/>
      <c r="L16" s="15" t="s">
        <v>54</v>
      </c>
      <c r="M16" s="26" t="s">
        <v>55</v>
      </c>
      <c r="N16" s="32">
        <v>18</v>
      </c>
      <c r="O16" s="35">
        <v>2.5</v>
      </c>
      <c r="P16" s="36">
        <v>3</v>
      </c>
      <c r="Q16" s="32">
        <f t="shared" si="2"/>
        <v>21</v>
      </c>
    </row>
    <row r="17" spans="1:17" x14ac:dyDescent="0.25">
      <c r="A17" s="12">
        <v>11</v>
      </c>
      <c r="B17" s="9" t="s">
        <v>73</v>
      </c>
      <c r="C17" s="9" t="s">
        <v>74</v>
      </c>
      <c r="D17" s="14">
        <v>60</v>
      </c>
      <c r="E17" s="14">
        <v>22</v>
      </c>
      <c r="F17" s="14">
        <v>1</v>
      </c>
      <c r="G17" s="14">
        <f>D17/F17</f>
        <v>60</v>
      </c>
      <c r="H17" s="14">
        <f t="shared" ref="H17" si="5">F17*E17</f>
        <v>22</v>
      </c>
      <c r="I17" s="24">
        <v>6900</v>
      </c>
      <c r="J17" s="24">
        <f t="shared" si="1"/>
        <v>7724.1045413314587</v>
      </c>
      <c r="K17" s="25"/>
      <c r="L17" s="14"/>
      <c r="M17" s="24"/>
      <c r="N17" s="31">
        <v>18.5</v>
      </c>
      <c r="O17" s="33">
        <v>2.5</v>
      </c>
      <c r="P17" s="34">
        <v>2.5</v>
      </c>
      <c r="Q17" s="31">
        <f t="shared" ref="Q17" si="6">CEILING(H17,1)</f>
        <v>22</v>
      </c>
    </row>
    <row r="18" spans="1:17" x14ac:dyDescent="0.25">
      <c r="A18" s="38"/>
      <c r="B18" s="10"/>
      <c r="C18" s="10"/>
      <c r="D18" s="39"/>
      <c r="E18" s="39"/>
      <c r="F18" s="40"/>
      <c r="G18" s="39"/>
      <c r="H18" s="39"/>
      <c r="I18" s="41"/>
      <c r="J18" s="41"/>
      <c r="K18" s="42"/>
      <c r="L18" s="39"/>
      <c r="M18" s="41"/>
      <c r="N18" s="43"/>
      <c r="O18" s="43"/>
      <c r="P18" s="44"/>
      <c r="Q18" s="43"/>
    </row>
    <row r="19" spans="1:17" x14ac:dyDescent="0.25">
      <c r="A19" s="28"/>
      <c r="B19" s="29" t="s">
        <v>76</v>
      </c>
      <c r="C19" s="46">
        <f>'Dodatek paliwowy'!E2</f>
        <v>19.47</v>
      </c>
      <c r="D19" s="28"/>
      <c r="E19" s="28"/>
      <c r="F19" s="28"/>
      <c r="G19" s="28"/>
      <c r="H19" s="28"/>
      <c r="I19" s="30"/>
      <c r="J19" s="30"/>
      <c r="K19" s="28"/>
    </row>
    <row r="20" spans="1:17" x14ac:dyDescent="0.25">
      <c r="A20" s="28"/>
      <c r="B20" s="29" t="s">
        <v>32</v>
      </c>
      <c r="C20" s="47">
        <v>22.54</v>
      </c>
      <c r="D20" s="28"/>
      <c r="E20" s="28"/>
      <c r="F20" s="28"/>
      <c r="G20" s="28"/>
      <c r="H20" s="28"/>
      <c r="I20" s="28"/>
      <c r="J20" s="28"/>
      <c r="K20" s="28"/>
    </row>
    <row r="21" spans="1:17" x14ac:dyDescent="0.25">
      <c r="A21" s="28"/>
      <c r="B21" s="29" t="s">
        <v>33</v>
      </c>
      <c r="C21" s="20">
        <f>'Dodatek paliwowy'!B5</f>
        <v>1.1194354407726752</v>
      </c>
      <c r="D21" s="28"/>
      <c r="E21" s="28"/>
      <c r="F21" s="28"/>
      <c r="G21" s="28"/>
      <c r="H21" s="28"/>
      <c r="I21" s="28"/>
      <c r="J21" s="28"/>
      <c r="K21" s="28"/>
    </row>
    <row r="24" spans="1:17" x14ac:dyDescent="0.25">
      <c r="B24" s="21" t="s">
        <v>37</v>
      </c>
    </row>
    <row r="25" spans="1:17" x14ac:dyDescent="0.25">
      <c r="B25" s="21" t="s">
        <v>38</v>
      </c>
    </row>
    <row r="26" spans="1:17" x14ac:dyDescent="0.25">
      <c r="B26" s="21" t="s">
        <v>45</v>
      </c>
    </row>
    <row r="27" spans="1:17" x14ac:dyDescent="0.25">
      <c r="B27" s="21" t="s">
        <v>39</v>
      </c>
    </row>
    <row r="28" spans="1:17" x14ac:dyDescent="0.25">
      <c r="B28" s="21" t="s">
        <v>40</v>
      </c>
    </row>
    <row r="29" spans="1:17" x14ac:dyDescent="0.25">
      <c r="B29" s="21" t="s">
        <v>41</v>
      </c>
    </row>
    <row r="30" spans="1:17" x14ac:dyDescent="0.25">
      <c r="B30" s="22"/>
    </row>
    <row r="31" spans="1:17" x14ac:dyDescent="0.25">
      <c r="B31" s="21" t="s">
        <v>42</v>
      </c>
    </row>
    <row r="32" spans="1:17" x14ac:dyDescent="0.25">
      <c r="B32" s="22"/>
    </row>
    <row r="33" spans="2:2" x14ac:dyDescent="0.25">
      <c r="B33" s="21" t="s">
        <v>46</v>
      </c>
    </row>
    <row r="34" spans="2:2" x14ac:dyDescent="0.25">
      <c r="B34" s="22" t="s">
        <v>43</v>
      </c>
    </row>
  </sheetData>
  <autoFilter ref="A2:Q16" xr:uid="{C23C8A93-1CBB-4479-BEF4-B6648057132C}"/>
  <mergeCells count="3">
    <mergeCell ref="A1:K1"/>
    <mergeCell ref="N1:Q1"/>
    <mergeCell ref="L1:M1"/>
  </mergeCells>
  <phoneticPr fontId="18" type="noConversion"/>
  <pageMargins left="0" right="0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5DFB-77FA-482D-87F6-9C5C8505BDAA}">
  <dimension ref="A1:E50"/>
  <sheetViews>
    <sheetView zoomScaleNormal="100" workbookViewId="0">
      <selection activeCell="I23" sqref="I23"/>
    </sheetView>
  </sheetViews>
  <sheetFormatPr defaultColWidth="8.7109375" defaultRowHeight="15" x14ac:dyDescent="0.25"/>
  <cols>
    <col min="1" max="1" width="41.7109375" style="1" bestFit="1" customWidth="1"/>
    <col min="2" max="2" width="14" style="1" customWidth="1"/>
    <col min="3" max="3" width="10" style="1" customWidth="1"/>
    <col min="4" max="5" width="8.7109375" style="1" hidden="1" customWidth="1"/>
    <col min="6" max="16384" width="8.7109375" style="1"/>
  </cols>
  <sheetData>
    <row r="1" spans="1:5" ht="27.75" customHeight="1" x14ac:dyDescent="0.25">
      <c r="A1" s="51" t="s">
        <v>24</v>
      </c>
      <c r="B1" s="51"/>
      <c r="C1" s="51"/>
      <c r="E1" s="2">
        <v>3.8210000000000002</v>
      </c>
    </row>
    <row r="2" spans="1:5" x14ac:dyDescent="0.25">
      <c r="A2" s="17" t="s">
        <v>75</v>
      </c>
      <c r="B2" s="45">
        <v>19.47</v>
      </c>
      <c r="C2" s="18"/>
      <c r="E2" s="2">
        <f>B2</f>
        <v>19.47</v>
      </c>
    </row>
    <row r="3" spans="1:5" ht="18" customHeight="1" x14ac:dyDescent="0.25">
      <c r="A3" s="52"/>
      <c r="B3" s="52"/>
      <c r="C3" s="52"/>
      <c r="E3" s="3">
        <v>0.38</v>
      </c>
    </row>
    <row r="4" spans="1:5" x14ac:dyDescent="0.25">
      <c r="A4" s="19" t="s">
        <v>25</v>
      </c>
      <c r="B4" s="45">
        <f>Ceny!C20</f>
        <v>22.54</v>
      </c>
      <c r="C4" s="18"/>
    </row>
    <row r="5" spans="1:5" ht="21.75" customHeight="1" x14ac:dyDescent="0.25">
      <c r="A5" s="19" t="s">
        <v>26</v>
      </c>
      <c r="B5" s="16">
        <f>(1+(($B$4-$E$1)/$E$1)*$E$3)/(1+(($E$2-$E$1)/$E$1)*$E$3)</f>
        <v>1.1194354407726752</v>
      </c>
      <c r="C5" s="18"/>
    </row>
    <row r="6" spans="1:5" ht="7.5" customHeight="1" x14ac:dyDescent="0.25"/>
    <row r="7" spans="1:5" ht="19.5" customHeight="1" x14ac:dyDescent="0.25">
      <c r="A7" s="4" t="s">
        <v>27</v>
      </c>
      <c r="B7" s="4" t="s">
        <v>28</v>
      </c>
      <c r="C7" s="4" t="s">
        <v>29</v>
      </c>
    </row>
    <row r="8" spans="1:5" x14ac:dyDescent="0.25">
      <c r="A8" s="5" t="str">
        <f>"do "&amp;D8&amp;" SEK"</f>
        <v>do 17,4 SEK</v>
      </c>
      <c r="B8" s="7">
        <f t="shared" ref="B8:B14" si="0">(1+((D8-$E$1)/$E$1)*$E$3)/(1+(($E$2-$E$1)/$E$1)*$E$3)</f>
        <v>0.91946861159627391</v>
      </c>
      <c r="C8" s="6" t="str">
        <f t="shared" ref="C8:C38" si="1">IF(ROUND(B8,2)=ROUND($B$5,2),"&gt;&gt;","")</f>
        <v/>
      </c>
      <c r="D8" s="1">
        <f t="shared" ref="D8:D13" si="2">D9-0.3</f>
        <v>17.399999999999995</v>
      </c>
    </row>
    <row r="9" spans="1:5" x14ac:dyDescent="0.25">
      <c r="A9" s="5" t="str">
        <f t="shared" ref="A9:A43" si="3">"do "&amp;D9&amp;" SEK"</f>
        <v>do 17,7 SEK</v>
      </c>
      <c r="B9" s="7">
        <f t="shared" si="0"/>
        <v>0.93113982730695888</v>
      </c>
      <c r="C9" s="6" t="str">
        <f t="shared" si="1"/>
        <v/>
      </c>
      <c r="D9" s="1">
        <f t="shared" si="2"/>
        <v>17.699999999999996</v>
      </c>
    </row>
    <row r="10" spans="1:5" x14ac:dyDescent="0.25">
      <c r="A10" s="5" t="str">
        <f t="shared" si="3"/>
        <v>do 18 SEK</v>
      </c>
      <c r="B10" s="7">
        <f t="shared" si="0"/>
        <v>0.94281104301764385</v>
      </c>
      <c r="C10" s="6" t="str">
        <f t="shared" si="1"/>
        <v/>
      </c>
      <c r="D10" s="1">
        <f t="shared" si="2"/>
        <v>17.999999999999996</v>
      </c>
    </row>
    <row r="11" spans="1:5" x14ac:dyDescent="0.25">
      <c r="A11" s="5" t="str">
        <f t="shared" si="3"/>
        <v>do 18,3 SEK</v>
      </c>
      <c r="B11" s="7">
        <f t="shared" si="0"/>
        <v>0.9544822587283287</v>
      </c>
      <c r="C11" s="6" t="str">
        <f t="shared" si="1"/>
        <v/>
      </c>
      <c r="D11" s="1">
        <f t="shared" si="2"/>
        <v>18.299999999999997</v>
      </c>
    </row>
    <row r="12" spans="1:5" x14ac:dyDescent="0.25">
      <c r="A12" s="5" t="str">
        <f t="shared" si="3"/>
        <v>do 18,6 SEK</v>
      </c>
      <c r="B12" s="7">
        <f t="shared" si="0"/>
        <v>0.96615347443901356</v>
      </c>
      <c r="C12" s="6" t="str">
        <f t="shared" si="1"/>
        <v/>
      </c>
      <c r="D12" s="1">
        <f t="shared" si="2"/>
        <v>18.599999999999998</v>
      </c>
    </row>
    <row r="13" spans="1:5" x14ac:dyDescent="0.25">
      <c r="A13" s="5" t="str">
        <f t="shared" si="3"/>
        <v>do 18,9 SEK</v>
      </c>
      <c r="B13" s="7">
        <f t="shared" si="0"/>
        <v>0.97782469014969853</v>
      </c>
      <c r="C13" s="6" t="str">
        <f t="shared" si="1"/>
        <v/>
      </c>
      <c r="D13" s="1">
        <f t="shared" si="2"/>
        <v>18.899999999999999</v>
      </c>
    </row>
    <row r="14" spans="1:5" x14ac:dyDescent="0.25">
      <c r="A14" s="5" t="str">
        <f t="shared" si="3"/>
        <v>do 19,2 SEK</v>
      </c>
      <c r="B14" s="7">
        <f t="shared" si="0"/>
        <v>0.98949590586038361</v>
      </c>
      <c r="C14" s="6" t="str">
        <f t="shared" si="1"/>
        <v/>
      </c>
      <c r="D14" s="1">
        <f>D15-0.3</f>
        <v>19.2</v>
      </c>
    </row>
    <row r="15" spans="1:5" x14ac:dyDescent="0.25">
      <c r="A15" s="5" t="str">
        <f t="shared" si="3"/>
        <v>do 19,5 SEK</v>
      </c>
      <c r="B15" s="7">
        <f>(1+((D15-$E$1)/$E$1)*$E$3)/(1+(($E$2-$E$1)/$E$1)*$E$3)</f>
        <v>1.0011671215710685</v>
      </c>
      <c r="C15" s="6" t="str">
        <f t="shared" si="1"/>
        <v/>
      </c>
      <c r="D15" s="1">
        <v>19.5</v>
      </c>
    </row>
    <row r="16" spans="1:5" x14ac:dyDescent="0.25">
      <c r="A16" s="5" t="str">
        <f t="shared" si="3"/>
        <v>do 19,8 SEK</v>
      </c>
      <c r="B16" s="7">
        <f t="shared" ref="B16:B38" si="4">(1+((D16-$E$1)/$E$1)*$E$3)/(1+(($E$2-$E$1)/$E$1)*$E$3)</f>
        <v>1.0128383372817533</v>
      </c>
      <c r="C16" s="6" t="str">
        <f t="shared" si="1"/>
        <v/>
      </c>
      <c r="D16" s="1">
        <f>D15+0.3</f>
        <v>19.8</v>
      </c>
    </row>
    <row r="17" spans="1:4" x14ac:dyDescent="0.25">
      <c r="A17" s="5" t="str">
        <f t="shared" si="3"/>
        <v>do 20,1 SEK</v>
      </c>
      <c r="B17" s="7">
        <f t="shared" si="4"/>
        <v>1.0245095529924382</v>
      </c>
      <c r="C17" s="6" t="str">
        <f t="shared" si="1"/>
        <v/>
      </c>
      <c r="D17" s="1">
        <f t="shared" ref="D17:D50" si="5">D16+0.3</f>
        <v>20.100000000000001</v>
      </c>
    </row>
    <row r="18" spans="1:4" x14ac:dyDescent="0.25">
      <c r="A18" s="5" t="str">
        <f t="shared" si="3"/>
        <v>do 20,4 SEK</v>
      </c>
      <c r="B18" s="7">
        <f t="shared" si="4"/>
        <v>1.036180768703123</v>
      </c>
      <c r="C18" s="6" t="str">
        <f t="shared" si="1"/>
        <v/>
      </c>
      <c r="D18" s="1">
        <f t="shared" si="5"/>
        <v>20.400000000000002</v>
      </c>
    </row>
    <row r="19" spans="1:4" x14ac:dyDescent="0.25">
      <c r="A19" s="5" t="str">
        <f t="shared" si="3"/>
        <v>do 20,7 SEK</v>
      </c>
      <c r="B19" s="7">
        <f t="shared" si="4"/>
        <v>1.0478519844138081</v>
      </c>
      <c r="C19" s="6" t="str">
        <f t="shared" si="1"/>
        <v/>
      </c>
      <c r="D19" s="1">
        <f t="shared" si="5"/>
        <v>20.700000000000003</v>
      </c>
    </row>
    <row r="20" spans="1:4" x14ac:dyDescent="0.25">
      <c r="A20" s="5" t="str">
        <f t="shared" si="3"/>
        <v>do 21 SEK</v>
      </c>
      <c r="B20" s="7">
        <f t="shared" si="4"/>
        <v>1.059523200124493</v>
      </c>
      <c r="C20" s="6" t="str">
        <f t="shared" si="1"/>
        <v/>
      </c>
      <c r="D20" s="1">
        <f t="shared" si="5"/>
        <v>21.000000000000004</v>
      </c>
    </row>
    <row r="21" spans="1:4" x14ac:dyDescent="0.25">
      <c r="A21" s="5" t="str">
        <f t="shared" si="3"/>
        <v>do 21,3 SEK</v>
      </c>
      <c r="B21" s="7">
        <f t="shared" si="4"/>
        <v>1.0711944158351778</v>
      </c>
      <c r="C21" s="6" t="str">
        <f t="shared" si="1"/>
        <v/>
      </c>
      <c r="D21" s="1">
        <f t="shared" si="5"/>
        <v>21.300000000000004</v>
      </c>
    </row>
    <row r="22" spans="1:4" x14ac:dyDescent="0.25">
      <c r="A22" s="5" t="str">
        <f t="shared" si="3"/>
        <v>do 21,6 SEK</v>
      </c>
      <c r="B22" s="7">
        <f t="shared" si="4"/>
        <v>1.0828656315458627</v>
      </c>
      <c r="C22" s="6" t="str">
        <f t="shared" si="1"/>
        <v/>
      </c>
      <c r="D22" s="1">
        <f t="shared" si="5"/>
        <v>21.600000000000005</v>
      </c>
    </row>
    <row r="23" spans="1:4" x14ac:dyDescent="0.25">
      <c r="A23" s="5" t="str">
        <f t="shared" si="3"/>
        <v>do 21,9 SEK</v>
      </c>
      <c r="B23" s="7">
        <f t="shared" si="4"/>
        <v>1.0945368472565475</v>
      </c>
      <c r="C23" s="6" t="str">
        <f t="shared" si="1"/>
        <v/>
      </c>
      <c r="D23" s="1">
        <f t="shared" si="5"/>
        <v>21.900000000000006</v>
      </c>
    </row>
    <row r="24" spans="1:4" x14ac:dyDescent="0.25">
      <c r="A24" s="5" t="str">
        <f t="shared" si="3"/>
        <v>do 22,2 SEK</v>
      </c>
      <c r="B24" s="7">
        <f t="shared" si="4"/>
        <v>1.1062080629672326</v>
      </c>
      <c r="C24" s="6" t="str">
        <f t="shared" si="1"/>
        <v/>
      </c>
      <c r="D24" s="1">
        <f t="shared" si="5"/>
        <v>22.200000000000006</v>
      </c>
    </row>
    <row r="25" spans="1:4" x14ac:dyDescent="0.25">
      <c r="A25" s="5" t="str">
        <f t="shared" si="3"/>
        <v>do 22,5 SEK</v>
      </c>
      <c r="B25" s="7">
        <f t="shared" si="4"/>
        <v>1.1178792786779177</v>
      </c>
      <c r="C25" s="6" t="str">
        <f>IF(ROUND(B25,2)=ROUND($B$5,2),"&gt;&gt;","")</f>
        <v>&gt;&gt;</v>
      </c>
      <c r="D25" s="1">
        <f t="shared" si="5"/>
        <v>22.500000000000007</v>
      </c>
    </row>
    <row r="26" spans="1:4" x14ac:dyDescent="0.25">
      <c r="A26" s="5" t="str">
        <f t="shared" si="3"/>
        <v>do 22,8 SEK</v>
      </c>
      <c r="B26" s="7">
        <f t="shared" si="4"/>
        <v>1.1295504943886026</v>
      </c>
      <c r="C26" s="6" t="str">
        <f t="shared" si="1"/>
        <v/>
      </c>
      <c r="D26" s="1">
        <f t="shared" si="5"/>
        <v>22.800000000000008</v>
      </c>
    </row>
    <row r="27" spans="1:4" x14ac:dyDescent="0.25">
      <c r="A27" s="5" t="str">
        <f t="shared" si="3"/>
        <v>do 23,1 SEK</v>
      </c>
      <c r="B27" s="7">
        <f t="shared" si="4"/>
        <v>1.1412217100992874</v>
      </c>
      <c r="C27" s="6" t="str">
        <f t="shared" si="1"/>
        <v/>
      </c>
      <c r="D27" s="1">
        <f t="shared" si="5"/>
        <v>23.100000000000009</v>
      </c>
    </row>
    <row r="28" spans="1:4" x14ac:dyDescent="0.25">
      <c r="A28" s="5" t="str">
        <f t="shared" si="3"/>
        <v>do 23,4 SEK</v>
      </c>
      <c r="B28" s="7">
        <f t="shared" si="4"/>
        <v>1.1528929258099723</v>
      </c>
      <c r="C28" s="6" t="str">
        <f t="shared" si="1"/>
        <v/>
      </c>
      <c r="D28" s="1">
        <f t="shared" si="5"/>
        <v>23.400000000000009</v>
      </c>
    </row>
    <row r="29" spans="1:4" x14ac:dyDescent="0.25">
      <c r="A29" s="5" t="str">
        <f t="shared" si="3"/>
        <v>do 23,7 SEK</v>
      </c>
      <c r="B29" s="7">
        <f t="shared" si="4"/>
        <v>1.1645641415206571</v>
      </c>
      <c r="C29" s="6" t="str">
        <f t="shared" si="1"/>
        <v/>
      </c>
      <c r="D29" s="1">
        <f t="shared" si="5"/>
        <v>23.70000000000001</v>
      </c>
    </row>
    <row r="30" spans="1:4" x14ac:dyDescent="0.25">
      <c r="A30" s="5" t="str">
        <f t="shared" si="3"/>
        <v>do 24 SEK</v>
      </c>
      <c r="B30" s="7">
        <f t="shared" si="4"/>
        <v>1.1762353572313422</v>
      </c>
      <c r="C30" s="6" t="str">
        <f t="shared" si="1"/>
        <v/>
      </c>
      <c r="D30" s="1">
        <f t="shared" si="5"/>
        <v>24.000000000000011</v>
      </c>
    </row>
    <row r="31" spans="1:4" x14ac:dyDescent="0.25">
      <c r="A31" s="5" t="str">
        <f t="shared" si="3"/>
        <v>do 24,3 SEK</v>
      </c>
      <c r="B31" s="7">
        <f t="shared" si="4"/>
        <v>1.1879065729420271</v>
      </c>
      <c r="C31" s="6" t="str">
        <f t="shared" si="1"/>
        <v/>
      </c>
      <c r="D31" s="1">
        <f t="shared" si="5"/>
        <v>24.300000000000011</v>
      </c>
    </row>
    <row r="32" spans="1:4" x14ac:dyDescent="0.25">
      <c r="A32" s="5" t="str">
        <f t="shared" si="3"/>
        <v>do 24,6 SEK</v>
      </c>
      <c r="B32" s="7">
        <f t="shared" si="4"/>
        <v>1.1995777886527119</v>
      </c>
      <c r="C32" s="6" t="str">
        <f t="shared" si="1"/>
        <v/>
      </c>
      <c r="D32" s="1">
        <f t="shared" si="5"/>
        <v>24.600000000000012</v>
      </c>
    </row>
    <row r="33" spans="1:4" x14ac:dyDescent="0.25">
      <c r="A33" s="5" t="str">
        <f t="shared" si="3"/>
        <v>do 24,9 SEK</v>
      </c>
      <c r="B33" s="7">
        <f t="shared" si="4"/>
        <v>1.211249004363397</v>
      </c>
      <c r="C33" s="6" t="str">
        <f t="shared" si="1"/>
        <v/>
      </c>
      <c r="D33" s="1">
        <f t="shared" si="5"/>
        <v>24.900000000000013</v>
      </c>
    </row>
    <row r="34" spans="1:4" x14ac:dyDescent="0.25">
      <c r="A34" s="5" t="str">
        <f t="shared" si="3"/>
        <v>do 25,2 SEK</v>
      </c>
      <c r="B34" s="7">
        <f t="shared" si="4"/>
        <v>1.2229202200740819</v>
      </c>
      <c r="C34" s="6" t="str">
        <f t="shared" si="1"/>
        <v/>
      </c>
      <c r="D34" s="1">
        <f t="shared" si="5"/>
        <v>25.200000000000014</v>
      </c>
    </row>
    <row r="35" spans="1:4" x14ac:dyDescent="0.25">
      <c r="A35" s="5" t="str">
        <f t="shared" si="3"/>
        <v>do 25,5 SEK</v>
      </c>
      <c r="B35" s="7">
        <f t="shared" si="4"/>
        <v>1.2345914357847669</v>
      </c>
      <c r="C35" s="6" t="str">
        <f t="shared" si="1"/>
        <v/>
      </c>
      <c r="D35" s="1">
        <f t="shared" si="5"/>
        <v>25.500000000000014</v>
      </c>
    </row>
    <row r="36" spans="1:4" x14ac:dyDescent="0.25">
      <c r="A36" s="5" t="str">
        <f t="shared" si="3"/>
        <v>do 25,8 SEK</v>
      </c>
      <c r="B36" s="7">
        <f t="shared" si="4"/>
        <v>1.2462626514954518</v>
      </c>
      <c r="C36" s="6" t="str">
        <f t="shared" si="1"/>
        <v/>
      </c>
      <c r="D36" s="1">
        <f t="shared" si="5"/>
        <v>25.800000000000015</v>
      </c>
    </row>
    <row r="37" spans="1:4" x14ac:dyDescent="0.25">
      <c r="A37" s="5" t="str">
        <f t="shared" si="3"/>
        <v>do 26,1 SEK</v>
      </c>
      <c r="B37" s="7">
        <f t="shared" si="4"/>
        <v>1.2579338672061364</v>
      </c>
      <c r="C37" s="6" t="str">
        <f t="shared" si="1"/>
        <v/>
      </c>
      <c r="D37" s="1">
        <f t="shared" si="5"/>
        <v>26.100000000000016</v>
      </c>
    </row>
    <row r="38" spans="1:4" x14ac:dyDescent="0.25">
      <c r="A38" s="5" t="str">
        <f t="shared" si="3"/>
        <v>do 26,4 SEK</v>
      </c>
      <c r="B38" s="7">
        <f t="shared" si="4"/>
        <v>1.2696050829168215</v>
      </c>
      <c r="C38" s="6" t="str">
        <f t="shared" si="1"/>
        <v/>
      </c>
      <c r="D38" s="1">
        <f t="shared" si="5"/>
        <v>26.400000000000016</v>
      </c>
    </row>
    <row r="39" spans="1:4" x14ac:dyDescent="0.25">
      <c r="A39" s="5" t="str">
        <f t="shared" ref="A39:A50" si="6">"do "&amp;D39&amp;" SEK"</f>
        <v>do 26,7 SEK</v>
      </c>
      <c r="B39" s="7">
        <f t="shared" ref="B39:B50" si="7">(1+((D39-$E$1)/$E$1)*$E$3)/(1+(($E$2-$E$1)/$E$1)*$E$3)</f>
        <v>1.2812762986275066</v>
      </c>
      <c r="C39" s="6" t="str">
        <f t="shared" ref="C39:C50" si="8">IF(ROUND(B39,2)=ROUND($B$5,2),"&gt;&gt;","")</f>
        <v/>
      </c>
      <c r="D39" s="1">
        <f t="shared" si="5"/>
        <v>26.700000000000017</v>
      </c>
    </row>
    <row r="40" spans="1:4" x14ac:dyDescent="0.25">
      <c r="A40" s="5" t="str">
        <f t="shared" si="6"/>
        <v>do 27 SEK</v>
      </c>
      <c r="B40" s="7">
        <f t="shared" si="7"/>
        <v>1.2929475143381914</v>
      </c>
      <c r="C40" s="6" t="str">
        <f t="shared" si="8"/>
        <v/>
      </c>
      <c r="D40" s="1">
        <f t="shared" si="5"/>
        <v>27.000000000000018</v>
      </c>
    </row>
    <row r="41" spans="1:4" x14ac:dyDescent="0.25">
      <c r="A41" s="5" t="str">
        <f t="shared" si="6"/>
        <v>do 27,3 SEK</v>
      </c>
      <c r="B41" s="7">
        <f t="shared" si="7"/>
        <v>1.3046187300488763</v>
      </c>
      <c r="C41" s="6" t="str">
        <f t="shared" si="8"/>
        <v/>
      </c>
      <c r="D41" s="1">
        <f t="shared" si="5"/>
        <v>27.300000000000018</v>
      </c>
    </row>
    <row r="42" spans="1:4" x14ac:dyDescent="0.25">
      <c r="A42" s="5" t="str">
        <f t="shared" si="6"/>
        <v>do 27,6 SEK</v>
      </c>
      <c r="B42" s="7">
        <f t="shared" si="7"/>
        <v>1.3162899457595612</v>
      </c>
      <c r="C42" s="6" t="str">
        <f t="shared" si="8"/>
        <v/>
      </c>
      <c r="D42" s="1">
        <f t="shared" si="5"/>
        <v>27.600000000000019</v>
      </c>
    </row>
    <row r="43" spans="1:4" x14ac:dyDescent="0.25">
      <c r="A43" s="5" t="str">
        <f t="shared" si="6"/>
        <v>do 27,9 SEK</v>
      </c>
      <c r="B43" s="7">
        <f t="shared" si="7"/>
        <v>1.3279611614702462</v>
      </c>
      <c r="C43" s="6" t="str">
        <f t="shared" si="8"/>
        <v/>
      </c>
      <c r="D43" s="1">
        <f t="shared" si="5"/>
        <v>27.90000000000002</v>
      </c>
    </row>
    <row r="44" spans="1:4" x14ac:dyDescent="0.25">
      <c r="A44" s="5" t="str">
        <f t="shared" si="6"/>
        <v>do 28,2 SEK</v>
      </c>
      <c r="B44" s="7">
        <f t="shared" si="7"/>
        <v>1.3396323771809311</v>
      </c>
      <c r="C44" s="6" t="str">
        <f t="shared" si="8"/>
        <v/>
      </c>
      <c r="D44" s="1">
        <f t="shared" si="5"/>
        <v>28.200000000000021</v>
      </c>
    </row>
    <row r="45" spans="1:4" x14ac:dyDescent="0.25">
      <c r="A45" s="5" t="str">
        <f t="shared" si="6"/>
        <v>do 28,5 SEK</v>
      </c>
      <c r="B45" s="7">
        <f t="shared" si="7"/>
        <v>1.3513035928916159</v>
      </c>
      <c r="C45" s="6" t="str">
        <f t="shared" si="8"/>
        <v/>
      </c>
      <c r="D45" s="1">
        <f t="shared" si="5"/>
        <v>28.500000000000021</v>
      </c>
    </row>
    <row r="46" spans="1:4" x14ac:dyDescent="0.25">
      <c r="A46" s="5" t="str">
        <f t="shared" si="6"/>
        <v>do 28,8 SEK</v>
      </c>
      <c r="B46" s="7">
        <f t="shared" si="7"/>
        <v>1.362974808602301</v>
      </c>
      <c r="C46" s="6" t="str">
        <f t="shared" si="8"/>
        <v/>
      </c>
      <c r="D46" s="1">
        <f t="shared" si="5"/>
        <v>28.800000000000022</v>
      </c>
    </row>
    <row r="47" spans="1:4" x14ac:dyDescent="0.25">
      <c r="A47" s="5" t="str">
        <f t="shared" si="6"/>
        <v>do 29,1 SEK</v>
      </c>
      <c r="B47" s="7">
        <f t="shared" si="7"/>
        <v>1.3746460243129859</v>
      </c>
      <c r="C47" s="6" t="str">
        <f t="shared" si="8"/>
        <v/>
      </c>
      <c r="D47" s="1">
        <f t="shared" si="5"/>
        <v>29.100000000000023</v>
      </c>
    </row>
    <row r="48" spans="1:4" x14ac:dyDescent="0.25">
      <c r="A48" s="5" t="str">
        <f t="shared" si="6"/>
        <v>do 29,4 SEK</v>
      </c>
      <c r="B48" s="7">
        <f t="shared" si="7"/>
        <v>1.3863172400236707</v>
      </c>
      <c r="C48" s="6" t="str">
        <f t="shared" si="8"/>
        <v/>
      </c>
      <c r="D48" s="1">
        <f t="shared" si="5"/>
        <v>29.400000000000023</v>
      </c>
    </row>
    <row r="49" spans="1:4" x14ac:dyDescent="0.25">
      <c r="A49" s="5" t="str">
        <f t="shared" si="6"/>
        <v>do 29,7 SEK</v>
      </c>
      <c r="B49" s="7">
        <f t="shared" si="7"/>
        <v>1.3979884557343558</v>
      </c>
      <c r="C49" s="6" t="str">
        <f t="shared" si="8"/>
        <v/>
      </c>
      <c r="D49" s="1">
        <f t="shared" si="5"/>
        <v>29.700000000000024</v>
      </c>
    </row>
    <row r="50" spans="1:4" x14ac:dyDescent="0.25">
      <c r="A50" s="5" t="str">
        <f t="shared" si="6"/>
        <v>do 30 SEK</v>
      </c>
      <c r="B50" s="7">
        <f t="shared" si="7"/>
        <v>1.4096596714450407</v>
      </c>
      <c r="C50" s="6" t="str">
        <f t="shared" si="8"/>
        <v/>
      </c>
      <c r="D50" s="1">
        <f t="shared" si="5"/>
        <v>30.000000000000025</v>
      </c>
    </row>
  </sheetData>
  <mergeCells count="2">
    <mergeCell ref="A1:C1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Ceny</vt:lpstr>
      <vt:lpstr>Dodatek paliwowy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Demuth</dc:creator>
  <cp:lastModifiedBy>Patryk Duks</cp:lastModifiedBy>
  <cp:lastPrinted>2026-06-03T12:25:06Z</cp:lastPrinted>
  <dcterms:created xsi:type="dcterms:W3CDTF">2026-06-02T08:28:00Z</dcterms:created>
  <dcterms:modified xsi:type="dcterms:W3CDTF">2026-09-22T10:32:52Z</dcterms:modified>
</cp:coreProperties>
</file>